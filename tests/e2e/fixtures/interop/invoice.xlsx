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voice" sheetId="1" state="visible" r:id="rId2"/>
    <sheet name="Payments" sheetId="2" state="visible" r:id="rId3"/>
    <sheet name="Summary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<sst xmlns="http://schemas.openxmlformats.org/spreadsheetml/2006/main" count="38" uniqueCount="31">
  <si>
    <t xml:space="preserve">Aspiring Traders Pvt Ltd - Tax Invoice</t>
  </si>
  <si>
    <t xml:space="preserve">Invoice No</t>
  </si>
  <si>
    <t xml:space="preserve">INV-2026-0042</t>
  </si>
  <si>
    <t xml:space="preserve">Date</t>
  </si>
  <si>
    <t xml:space="preserve">Customer</t>
  </si>
  <si>
    <r>
      <rPr>
        <sz val="11"/>
        <color rgb="FF000000"/>
        <rFont val="Calibri"/>
        <family val="2"/>
        <charset val="1"/>
      </rPr>
      <t xml:space="preserve">Ramesh Kumar (</t>
    </r>
    <r>
      <rPr>
        <sz val="11"/>
        <color rgb="FF000000"/>
        <rFont val="Noto Sans Devanagari"/>
        <family val="2"/>
      </rPr>
      <t xml:space="preserve">रमेश कुमार</t>
    </r>
    <r>
      <rPr>
        <sz val="11"/>
        <color rgb="FF000000"/>
        <rFont val="Calibri"/>
        <family val="2"/>
        <charset val="1"/>
      </rPr>
      <t xml:space="preserve">)</t>
    </r>
  </si>
  <si>
    <t xml:space="preserve">Item</t>
  </si>
  <si>
    <t xml:space="preserve">Qty</t>
  </si>
  <si>
    <t xml:space="preserve">Rate (₹)</t>
  </si>
  <si>
    <t xml:space="preserve">Amount (₹)</t>
  </si>
  <si>
    <t xml:space="preserve">GST %</t>
  </si>
  <si>
    <t xml:space="preserve">Status</t>
  </si>
  <si>
    <t xml:space="preserve">Widget A</t>
  </si>
  <si>
    <t xml:space="preserve">Widget B</t>
  </si>
  <si>
    <t xml:space="preserve">Service fee</t>
  </si>
  <si>
    <t xml:space="preserve">Cable 2m</t>
  </si>
  <si>
    <r>
      <rPr>
        <sz val="11"/>
        <color rgb="FF000000"/>
        <rFont val="Calibri"/>
        <family val="2"/>
        <charset val="1"/>
      </rPr>
      <t xml:space="preserve">Notebook (</t>
    </r>
    <r>
      <rPr>
        <sz val="11"/>
        <color rgb="FF000000"/>
        <rFont val="Noto Sans Devanagari"/>
        <family val="2"/>
      </rPr>
      <t xml:space="preserve">हिंदी</t>
    </r>
    <r>
      <rPr>
        <sz val="11"/>
        <color rgb="FF000000"/>
        <rFont val="Calibri"/>
        <family val="2"/>
        <charset val="1"/>
      </rPr>
      <t xml:space="preserve">)</t>
    </r>
  </si>
  <si>
    <t xml:space="preserve">Subtotal</t>
  </si>
  <si>
    <t xml:space="preserve">GST</t>
  </si>
  <si>
    <t xml:space="preserve">Total</t>
  </si>
  <si>
    <r>
      <rPr>
        <sz val="11"/>
        <color rgb="FF000000"/>
        <rFont val="Calibri"/>
        <family val="2"/>
        <charset val="1"/>
      </rPr>
      <t xml:space="preserve">Thank you for your business / </t>
    </r>
    <r>
      <rPr>
        <sz val="11"/>
        <color rgb="FF000000"/>
        <rFont val="Noto Sans Devanagari"/>
        <family val="2"/>
      </rPr>
      <t xml:space="preserve">धन्यवाद</t>
    </r>
  </si>
  <si>
    <t xml:space="preserve">Method</t>
  </si>
  <si>
    <t xml:space="preserve">Amount</t>
  </si>
  <si>
    <t xml:space="preserve">Running</t>
  </si>
  <si>
    <t xml:space="preserve">Paid?</t>
  </si>
  <si>
    <t xml:space="preserve">UPI</t>
  </si>
  <si>
    <t xml:space="preserve">NEFT</t>
  </si>
  <si>
    <t xml:space="preserve">Summary</t>
  </si>
  <si>
    <t xml:space="preserve">Invoice total</t>
  </si>
  <si>
    <t xml:space="preserve">Payments total</t>
  </si>
  <si>
    <t xml:space="preserve">Balance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</si>
</sst>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\₹#,##0.00"/>
    <numFmt numFmtId="167" formatCode="yyyy\-mm\-dd"/>
    <numFmt numFmtId="168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sz val="11"/>
      <color rgb="FF000000"/>
      <name val="Noto Sans Devanagari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0" t="s">
        <v>1</v>
      </c>
      <c r="B2" s="0" t="s">
        <v>2</v>
      </c>
      <c r="D2" s="0" t="s">
        <v>3</v>
      </c>
      <c r="E2" s="2" t="n">
        <v>46280</v>
      </c>
    </row>
    <row r="3" customFormat="false" ht="15" hidden="false" customHeight="false" outlineLevel="0" collapsed="false">
      <c r="A3" s="0" t="s">
        <v>4</v>
      </c>
      <c r="B3" s="3" t="s">
        <v>5</v>
      </c>
      <c r="C3" s="3"/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</row>
    <row r="6" customFormat="false" ht="15" hidden="false" customHeight="false" outlineLevel="0" collapsed="false">
      <c r="A6" s="0" t="s">
        <v>12</v>
      </c>
      <c r="B6" s="0" t="n">
        <v>10</v>
      </c>
      <c r="C6" s="5" t="n">
        <v>125.5</v>
      </c>
      <c r="D6" s="5" t="n">
        <f aca="false">B6*C6</f>
        <v>1255</v>
      </c>
      <c r="E6" s="0" t="n">
        <v>18</v>
      </c>
      <c r="F6" s="0" t="str">
        <f aca="false">IF(D6&gt;1000,"Large","Small")</f>
        <v>Large</v>
      </c>
    </row>
    <row r="7" customFormat="false" ht="15" hidden="false" customHeight="false" outlineLevel="0" collapsed="false">
      <c r="A7" s="0" t="s">
        <v>13</v>
      </c>
      <c r="B7" s="0" t="n">
        <v>3</v>
      </c>
      <c r="C7" s="5" t="n">
        <v>899.99</v>
      </c>
      <c r="D7" s="5" t="n">
        <f aca="false">B7*C7</f>
        <v>2699.97</v>
      </c>
      <c r="E7" s="0" t="n">
        <v>18</v>
      </c>
      <c r="F7" s="0" t="str">
        <f aca="false">IF(D7&gt;1000,"Large","Small")</f>
        <v>Large</v>
      </c>
    </row>
    <row r="8" customFormat="false" ht="15" hidden="false" customHeight="false" outlineLevel="0" collapsed="false">
      <c r="A8" s="0" t="s">
        <v>14</v>
      </c>
      <c r="B8" s="0" t="n">
        <v>1</v>
      </c>
      <c r="C8" s="5" t="n">
        <v>2500</v>
      </c>
      <c r="D8" s="5" t="n">
        <f aca="false">B8*C8</f>
        <v>2500</v>
      </c>
      <c r="E8" s="0" t="n">
        <v>12</v>
      </c>
      <c r="F8" s="0" t="str">
        <f aca="false">IF(D8&gt;1000,"Large","Small")</f>
        <v>Large</v>
      </c>
    </row>
    <row r="9" customFormat="false" ht="15" hidden="false" customHeight="false" outlineLevel="0" collapsed="false">
      <c r="A9" s="0" t="s">
        <v>15</v>
      </c>
      <c r="B9" s="0" t="n">
        <v>25</v>
      </c>
      <c r="C9" s="5" t="n">
        <v>45.25</v>
      </c>
      <c r="D9" s="5" t="n">
        <f aca="false">B9*C9</f>
        <v>1131.25</v>
      </c>
      <c r="E9" s="0" t="n">
        <v>5</v>
      </c>
      <c r="F9" s="0" t="str">
        <f aca="false">IF(D9&gt;1000,"Large","Small")</f>
        <v>Large</v>
      </c>
    </row>
    <row r="10" customFormat="false" ht="15" hidden="false" customHeight="false" outlineLevel="0" collapsed="false">
      <c r="A10" s="0" t="s">
        <v>16</v>
      </c>
      <c r="B10" s="0" t="n">
        <v>12</v>
      </c>
      <c r="C10" s="5" t="n">
        <v>60</v>
      </c>
      <c r="D10" s="5" t="n">
        <f aca="false">B10*C10</f>
        <v>720</v>
      </c>
      <c r="E10" s="0" t="n">
        <v>0</v>
      </c>
      <c r="F10" s="0" t="str">
        <f aca="false">IF(D10&gt;1000,"Large","Small")</f>
        <v>Small</v>
      </c>
    </row>
    <row r="12" customFormat="false" ht="15" hidden="false" customHeight="false" outlineLevel="0" collapsed="false">
      <c r="C12" s="0" t="s">
        <v>17</v>
      </c>
      <c r="D12" s="5" t="n">
        <f aca="false">SUM(D6:D10)</f>
        <v>8306.22</v>
      </c>
    </row>
    <row r="13" customFormat="false" ht="15" hidden="false" customHeight="false" outlineLevel="0" collapsed="false">
      <c r="C13" s="0" t="s">
        <v>18</v>
      </c>
      <c r="D13" s="5" t="n">
        <f aca="false">SUMPRODUCT(D6:D10,E6:E10)/100</f>
        <v>1068.4571</v>
      </c>
    </row>
    <row r="14" customFormat="false" ht="15" hidden="false" customHeight="false" outlineLevel="0" collapsed="false">
      <c r="C14" s="0" t="s">
        <v>19</v>
      </c>
      <c r="D14" s="6" t="n">
        <f aca="false">D12+D13</f>
        <v>9374.6771</v>
      </c>
    </row>
    <row r="16" customFormat="false" ht="15" hidden="false" customHeight="false" outlineLevel="0" collapsed="false">
      <c r="A16" s="3" t="s">
        <v>20</v>
      </c>
      <c r="B16" s="3"/>
      <c r="C16" s="3"/>
      <c r="D16" s="3"/>
      <c r="E16" s="3"/>
      <c r="F16" s="3"/>
    </row>
  </sheetData>
  <mergeCells count="3">
    <mergeCell ref="A1:F1"/>
    <mergeCell ref="B3:C3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3</v>
      </c>
      <c r="B1" s="0" t="s">
        <v>21</v>
      </c>
      <c r="C1" s="0" t="s">
        <v>22</v>
      </c>
      <c r="D1" s="0" t="s">
        <v>23</v>
      </c>
      <c r="F1" s="0" t="s">
        <v>24</v>
      </c>
      <c r="G1" s="0" t="str">
        <f aca="false">IF(SUM(C2:C9)&gt;=Invoice!D14,"PAID","DUE")</f>
        <v>PAID</v>
      </c>
    </row>
    <row r="2" customFormat="false" ht="15" hidden="false" customHeight="false" outlineLevel="0" collapsed="false">
      <c r="A2" s="7" t="n">
        <v>46266</v>
      </c>
      <c r="B2" s="0" t="s">
        <v>25</v>
      </c>
      <c r="C2" s="8" t="n">
        <v>1412</v>
      </c>
      <c r="D2" s="0" t="n">
        <f aca="false">SUM(C$2:C2)</f>
        <v>1412</v>
      </c>
    </row>
    <row r="3" customFormat="false" ht="15" hidden="false" customHeight="false" outlineLevel="0" collapsed="false">
      <c r="A3" s="7" t="n">
        <v>46269</v>
      </c>
      <c r="B3" s="0" t="s">
        <v>25</v>
      </c>
      <c r="C3" s="8" t="n">
        <v>2753</v>
      </c>
      <c r="D3" s="0" t="n">
        <f aca="false">SUM(C$2:C3)</f>
        <v>4165</v>
      </c>
    </row>
    <row r="4" customFormat="false" ht="15" hidden="false" customHeight="false" outlineLevel="0" collapsed="false">
      <c r="A4" s="7" t="n">
        <v>46272</v>
      </c>
      <c r="B4" s="0" t="s">
        <v>25</v>
      </c>
      <c r="C4" s="8" t="n">
        <v>2328</v>
      </c>
      <c r="D4" s="0" t="n">
        <f aca="false">SUM(C$2:C4)</f>
        <v>6493</v>
      </c>
    </row>
    <row r="5" customFormat="false" ht="15" hidden="false" customHeight="false" outlineLevel="0" collapsed="false">
      <c r="A5" s="7" t="n">
        <v>46275</v>
      </c>
      <c r="B5" s="0" t="s">
        <v>26</v>
      </c>
      <c r="C5" s="8" t="n">
        <v>1339</v>
      </c>
      <c r="D5" s="0" t="n">
        <f aca="false">SUM(C$2:C5)</f>
        <v>7832</v>
      </c>
    </row>
    <row r="6" customFormat="false" ht="15" hidden="false" customHeight="false" outlineLevel="0" collapsed="false">
      <c r="A6" s="7" t="n">
        <v>46278</v>
      </c>
      <c r="B6" s="0" t="s">
        <v>25</v>
      </c>
      <c r="C6" s="8" t="n">
        <v>4967</v>
      </c>
      <c r="D6" s="0" t="n">
        <f aca="false">SUM(C$2:C6)</f>
        <v>12799</v>
      </c>
    </row>
    <row r="7" customFormat="false" ht="15" hidden="false" customHeight="false" outlineLevel="0" collapsed="false">
      <c r="A7" s="7" t="n">
        <v>46281</v>
      </c>
      <c r="B7" s="0" t="s">
        <v>25</v>
      </c>
      <c r="C7" s="8" t="n">
        <v>3956</v>
      </c>
      <c r="D7" s="0" t="n">
        <f aca="false">SUM(C$2:C7)</f>
        <v>16755</v>
      </c>
    </row>
    <row r="8" customFormat="false" ht="15" hidden="false" customHeight="false" outlineLevel="0" collapsed="false">
      <c r="A8" s="7" t="n">
        <v>46284</v>
      </c>
      <c r="B8" s="0" t="s">
        <v>25</v>
      </c>
      <c r="C8" s="8" t="n">
        <v>744</v>
      </c>
      <c r="D8" s="0" t="n">
        <f aca="false">SUM(C$2:C8)</f>
        <v>17499</v>
      </c>
    </row>
    <row r="9" customFormat="false" ht="15" hidden="false" customHeight="false" outlineLevel="0" collapsed="false">
      <c r="A9" s="7" t="n">
        <v>46287</v>
      </c>
      <c r="B9" s="0" t="s">
        <v>25</v>
      </c>
      <c r="C9" s="8" t="n">
        <v>2291</v>
      </c>
      <c r="D9" s="0" t="n">
        <f aca="false">SUM(C$2:C9)</f>
        <v>19790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3" t="s">
        <v>27</v>
      </c>
      <c r="B1" s="3"/>
      <c r="C1" s="3"/>
    </row>
    <row r="2" customFormat="false" ht="15" hidden="false" customHeight="false" outlineLevel="0" collapsed="false">
      <c r="A2" s="0" t="s">
        <v>28</v>
      </c>
      <c r="B2" s="5" t="n">
        <f aca="false">Invoice!D14</f>
        <v>9374.6771</v>
      </c>
    </row>
    <row r="3" customFormat="false" ht="15" hidden="false" customHeight="false" outlineLevel="0" collapsed="false">
      <c r="A3" s="0" t="s">
        <v>29</v>
      </c>
      <c r="B3" s="0" t="n">
        <f aca="false">SUM(Payments!C2:C9)</f>
        <v>19790</v>
      </c>
    </row>
    <row r="4" customFormat="false" ht="15" hidden="false" customHeight="false" outlineLevel="0" collapsed="false">
      <c r="A4" s="0" t="s">
        <v>30</v>
      </c>
      <c r="B4" s="5" t="n">
        <f aca="false">B2-B3</f>
        <v>-10415.3229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2026-10-05T14:34:56Z</dcterms:created>
  <dc:creator>openpyxl</dc:creator>
  <dc:description/>
  <dc:language>en-US</dc:language>
  <cp:lastModifiedBy/>
  <dcterms:modified xsi:type="dcterms:W3CDTF">2026-10-05T14:34:56Z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